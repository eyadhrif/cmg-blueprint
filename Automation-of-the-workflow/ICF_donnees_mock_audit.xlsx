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Générale" sheetId="1" state="visible" r:id="rId3"/>
    <sheet name="Tableau des Immobilis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<sst xmlns="http://schemas.openxmlformats.org/spreadsheetml/2006/main" count="132" uniqueCount="100">
  <si>
    <t xml:space="preserve">SOCIÉTÉ ICF — BALANCE GÉNÉRALE (DONNÉES FICTIVES POUR TEST)</t>
  </si>
  <si>
    <t xml:space="preserve">Exercice clos le 31/12/2025 — Montants en dinars tunisiens (TND, 3 décimales)</t>
  </si>
  <si>
    <t xml:space="preserve">Jeu de données synthétique — à remplacer par les documents réels de la mission dès réception.</t>
  </si>
  <si>
    <t xml:space="preserve">N° Compte</t>
  </si>
  <si>
    <t xml:space="preserve">Intitulé du compte</t>
  </si>
  <si>
    <t xml:space="preserve">Solde Ouv. Débit</t>
  </si>
  <si>
    <t xml:space="preserve">Solde Ouv. Crédit</t>
  </si>
  <si>
    <t xml:space="preserve">Mouvement Débit</t>
  </si>
  <si>
    <t xml:space="preserve">Mouvement Crédit</t>
  </si>
  <si>
    <t xml:space="preserve">Solde Clôt. Débit</t>
  </si>
  <si>
    <t xml:space="preserve">Solde Clôt. Crédit</t>
  </si>
  <si>
    <t xml:space="preserve">Observation de l'auditeur</t>
  </si>
  <si>
    <t xml:space="preserve">Statut</t>
  </si>
  <si>
    <t xml:space="preserve">101000</t>
  </si>
  <si>
    <t xml:space="preserve">Capital social</t>
  </si>
  <si>
    <t xml:space="preserve">RAS</t>
  </si>
  <si>
    <t xml:space="preserve">Rapproché</t>
  </si>
  <si>
    <t xml:space="preserve">106100</t>
  </si>
  <si>
    <t xml:space="preserve">Réserve légale</t>
  </si>
  <si>
    <t xml:space="preserve">Conforme à la NCT 02</t>
  </si>
  <si>
    <t xml:space="preserve">164000</t>
  </si>
  <si>
    <t xml:space="preserve">Emprunts auprès des établissements de crédit</t>
  </si>
  <si>
    <t xml:space="preserve">Tableau d'amortissement demandé</t>
  </si>
  <si>
    <t xml:space="preserve">À vérifier</t>
  </si>
  <si>
    <t xml:space="preserve">211000</t>
  </si>
  <si>
    <t xml:space="preserve">Terrains</t>
  </si>
  <si>
    <t xml:space="preserve">Acte de propriété à confirmer</t>
  </si>
  <si>
    <t xml:space="preserve">223000</t>
  </si>
  <si>
    <t xml:space="preserve">Matériel et outillage industriel</t>
  </si>
  <si>
    <t xml:space="preserve">Voir tableau des immobilisations</t>
  </si>
  <si>
    <t xml:space="preserve">281300</t>
  </si>
  <si>
    <t xml:space="preserve">Amortissements du matériel industriel</t>
  </si>
  <si>
    <t xml:space="preserve">Cohérent avec le plan d'amortissement</t>
  </si>
  <si>
    <t xml:space="preserve">371000</t>
  </si>
  <si>
    <t xml:space="preserve">Stocks de marchandises</t>
  </si>
  <si>
    <t xml:space="preserve">Inventaire physique à recevoir</t>
  </si>
  <si>
    <t xml:space="preserve">401000</t>
  </si>
  <si>
    <t xml:space="preserve">Fournisseurs</t>
  </si>
  <si>
    <t xml:space="preserve">3 factures non parvenues signalées</t>
  </si>
  <si>
    <t xml:space="preserve">411000</t>
  </si>
  <si>
    <t xml:space="preserve">Clients</t>
  </si>
  <si>
    <t xml:space="preserve">Balance âgée demandée</t>
  </si>
  <si>
    <t xml:space="preserve">425000</t>
  </si>
  <si>
    <t xml:space="preserve">Personnel — rémunérations dues</t>
  </si>
  <si>
    <t xml:space="preserve">436000</t>
  </si>
  <si>
    <t xml:space="preserve">État — TVA collectée</t>
  </si>
  <si>
    <t xml:space="preserve">445000</t>
  </si>
  <si>
    <t xml:space="preserve">État — TVA déductible</t>
  </si>
  <si>
    <t xml:space="preserve">512000</t>
  </si>
  <si>
    <t xml:space="preserve">Banque</t>
  </si>
  <si>
    <t xml:space="preserve">Rapprochement bancaire joint — encaissement client important en fin d'exercice</t>
  </si>
  <si>
    <t xml:space="preserve">530000</t>
  </si>
  <si>
    <t xml:space="preserve">Caisse</t>
  </si>
  <si>
    <t xml:space="preserve">Solde physique à confirmer</t>
  </si>
  <si>
    <t xml:space="preserve">601000</t>
  </si>
  <si>
    <t xml:space="preserve">Achats de marchandises</t>
  </si>
  <si>
    <t xml:space="preserve">613000</t>
  </si>
  <si>
    <t xml:space="preserve">Locations</t>
  </si>
  <si>
    <t xml:space="preserve">641000</t>
  </si>
  <si>
    <t xml:space="preserve">Charges de personnel</t>
  </si>
  <si>
    <t xml:space="preserve">706000</t>
  </si>
  <si>
    <t xml:space="preserve">Prestations de services</t>
  </si>
  <si>
    <t xml:space="preserve">707000</t>
  </si>
  <si>
    <t xml:space="preserve">Ventes de marchandises</t>
  </si>
  <si>
    <t xml:space="preserve">TOTAUX</t>
  </si>
  <si>
    <t xml:space="preserve">Contrôle : Total Solde Clôture Débit = Total Solde Clôture Crédit ?</t>
  </si>
  <si>
    <t xml:space="preserve">Les 5 comptes marqués « À vérifier » sont les points d'audit réalistes à tester avec votre pipeline (pièces manquantes, soldes à confirmer) — la balance elle-même est équilibrée, comme dans un vrai dossier.</t>
  </si>
  <si>
    <t xml:space="preserve">Légende : texte bleu = données saisies (mock) · texte noir = calculé par formule · à remplacer par les données réelles de la mission ICF.</t>
  </si>
  <si>
    <t xml:space="preserve">SOCIÉTÉ ICF — TABLEAU DES IMMOBILISATIONS (DONNÉES FICTIVES POUR TEST)</t>
  </si>
  <si>
    <t xml:space="preserve">Conforme à la NCT 05 — Immobilisations corporelles — Montants en TND</t>
  </si>
  <si>
    <t xml:space="preserve">N° Immobilisation</t>
  </si>
  <si>
    <t xml:space="preserve">Désignation</t>
  </si>
  <si>
    <t xml:space="preserve">Date d'acquisition</t>
  </si>
  <si>
    <t xml:space="preserve">Valeur d'origine (TND)</t>
  </si>
  <si>
    <t xml:space="preserve">Méthode d'amortissement</t>
  </si>
  <si>
    <t xml:space="preserve">Durée d'utilité (années)</t>
  </si>
  <si>
    <t xml:space="preserve">Années écoulées</t>
  </si>
  <si>
    <t xml:space="preserve">Taux amortissement</t>
  </si>
  <si>
    <t xml:space="preserve">Amortissements cumulés (TND)</t>
  </si>
  <si>
    <t xml:space="preserve">Valeur nette comptable (TND)</t>
  </si>
  <si>
    <t xml:space="preserve">IMMO-001</t>
  </si>
  <si>
    <t xml:space="preserve">Ligne de production A</t>
  </si>
  <si>
    <t xml:space="preserve">2021-03-15</t>
  </si>
  <si>
    <t xml:space="preserve">Linéaire</t>
  </si>
  <si>
    <t xml:space="preserve">IMMO-002</t>
  </si>
  <si>
    <t xml:space="preserve">Groupe électrogène</t>
  </si>
  <si>
    <t xml:space="preserve">2022-07-01</t>
  </si>
  <si>
    <t xml:space="preserve">IMMO-003</t>
  </si>
  <si>
    <t xml:space="preserve">Véhicule utilitaire — Renault</t>
  </si>
  <si>
    <t xml:space="preserve">2023-01-10</t>
  </si>
  <si>
    <t xml:space="preserve">IMMO-004</t>
  </si>
  <si>
    <t xml:space="preserve">Matériel informatique (siège)</t>
  </si>
  <si>
    <t xml:space="preserve">2023-09-01</t>
  </si>
  <si>
    <t xml:space="preserve">IMMO-005</t>
  </si>
  <si>
    <t xml:space="preserve">Bâtiment industriel — hall B</t>
  </si>
  <si>
    <t xml:space="preserve">2019-05-20</t>
  </si>
  <si>
    <t xml:space="preserve">IMMO-006</t>
  </si>
  <si>
    <t xml:space="preserve">Compresseur industriel</t>
  </si>
  <si>
    <t xml:space="preserve">2024-02-14</t>
  </si>
  <si>
    <t xml:space="preserve">Légende : texte bleu = données saisies (mock) · texte noir = calculé par formule (taux = 1/durée, amortissement cumulé = min(valeur, valeur × taux × années écoulées)).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</si>
</sst>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&quot; TND&quot;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DEB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DC8"/>
      </left>
      <right style="thin">
        <color rgb="FFD0CDC8"/>
      </right>
      <top style="thin">
        <color rgb="FFD0CDC8"/>
      </top>
      <bottom style="thin">
        <color rgb="FFD0CD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DC8"/>
      <rgbColor rgb="FF808080"/>
      <rgbColor rgb="FF9999FF"/>
      <rgbColor rgb="FF993366"/>
      <rgbColor rgb="FFEDEB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8" min="3" style="0" width="15"/>
    <col collapsed="false" customWidth="true" hidden="false" outlineLevel="0" max="9" min="9" style="0" width="30"/>
    <col collapsed="false" customWidth="true" hidden="false" outlineLevel="0" max="10" min="10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6" t="n">
        <v>0</v>
      </c>
      <c r="D6" s="6" t="n">
        <v>500000</v>
      </c>
      <c r="E6" s="6" t="n">
        <v>0</v>
      </c>
      <c r="F6" s="6" t="n">
        <v>0</v>
      </c>
      <c r="G6" s="7" t="n">
        <f aca="false">MAX(0,(C6-D6)+(E6-F6))</f>
        <v>0</v>
      </c>
      <c r="H6" s="7" t="n">
        <f aca="false">MAX(0,-((C6-D6)+(E6-F6)))</f>
        <v>500000</v>
      </c>
      <c r="I6" s="5" t="s">
        <v>15</v>
      </c>
      <c r="J6" s="5" t="s">
        <v>16</v>
      </c>
    </row>
    <row r="7" customFormat="false" ht="15" hidden="false" customHeight="false" outlineLevel="0" collapsed="false">
      <c r="A7" s="5" t="s">
        <v>17</v>
      </c>
      <c r="B7" s="5" t="s">
        <v>18</v>
      </c>
      <c r="C7" s="6" t="n">
        <v>0</v>
      </c>
      <c r="D7" s="6" t="n">
        <v>25000</v>
      </c>
      <c r="E7" s="6" t="n">
        <v>0</v>
      </c>
      <c r="F7" s="6" t="n">
        <v>5000</v>
      </c>
      <c r="G7" s="7" t="n">
        <f aca="false">MAX(0,(C7-D7)+(E7-F7))</f>
        <v>0</v>
      </c>
      <c r="H7" s="7" t="n">
        <f aca="false">MAX(0,-((C7-D7)+(E7-F7)))</f>
        <v>30000</v>
      </c>
      <c r="I7" s="5" t="s">
        <v>19</v>
      </c>
      <c r="J7" s="5" t="s">
        <v>16</v>
      </c>
    </row>
    <row r="8" customFormat="false" ht="15" hidden="false" customHeight="false" outlineLevel="0" collapsed="false">
      <c r="A8" s="5" t="s">
        <v>20</v>
      </c>
      <c r="B8" s="5" t="s">
        <v>21</v>
      </c>
      <c r="C8" s="6" t="n">
        <v>0</v>
      </c>
      <c r="D8" s="6" t="n">
        <v>180000</v>
      </c>
      <c r="E8" s="6" t="n">
        <v>12000</v>
      </c>
      <c r="F8" s="6" t="n">
        <v>0</v>
      </c>
      <c r="G8" s="7" t="n">
        <f aca="false">MAX(0,(C8-D8)+(E8-F8))</f>
        <v>0</v>
      </c>
      <c r="H8" s="7" t="n">
        <f aca="false">MAX(0,-((C8-D8)+(E8-F8)))</f>
        <v>168000</v>
      </c>
      <c r="I8" s="5" t="s">
        <v>22</v>
      </c>
      <c r="J8" s="5" t="s">
        <v>23</v>
      </c>
    </row>
    <row r="9" customFormat="false" ht="15" hidden="false" customHeight="false" outlineLevel="0" collapsed="false">
      <c r="A9" s="5" t="s">
        <v>24</v>
      </c>
      <c r="B9" s="5" t="s">
        <v>25</v>
      </c>
      <c r="C9" s="6" t="n">
        <v>220000</v>
      </c>
      <c r="D9" s="6" t="n">
        <v>0</v>
      </c>
      <c r="E9" s="6" t="n">
        <v>0</v>
      </c>
      <c r="F9" s="6" t="n">
        <v>0</v>
      </c>
      <c r="G9" s="7" t="n">
        <f aca="false">MAX(0,(C9-D9)+(E9-F9))</f>
        <v>220000</v>
      </c>
      <c r="H9" s="7" t="n">
        <f aca="false">MAX(0,-((C9-D9)+(E9-F9)))</f>
        <v>0</v>
      </c>
      <c r="I9" s="5" t="s">
        <v>26</v>
      </c>
      <c r="J9" s="5" t="s">
        <v>23</v>
      </c>
    </row>
    <row r="10" customFormat="false" ht="15" hidden="false" customHeight="false" outlineLevel="0" collapsed="false">
      <c r="A10" s="5" t="s">
        <v>27</v>
      </c>
      <c r="B10" s="5" t="s">
        <v>28</v>
      </c>
      <c r="C10" s="6" t="n">
        <v>340000</v>
      </c>
      <c r="D10" s="6" t="n">
        <v>0</v>
      </c>
      <c r="E10" s="6" t="n">
        <v>45000</v>
      </c>
      <c r="F10" s="6" t="n">
        <v>0</v>
      </c>
      <c r="G10" s="7" t="n">
        <f aca="false">MAX(0,(C10-D10)+(E10-F10))</f>
        <v>385000</v>
      </c>
      <c r="H10" s="7" t="n">
        <f aca="false">MAX(0,-((C10-D10)+(E10-F10)))</f>
        <v>0</v>
      </c>
      <c r="I10" s="5" t="s">
        <v>29</v>
      </c>
      <c r="J10" s="5" t="s">
        <v>16</v>
      </c>
    </row>
    <row r="11" customFormat="false" ht="15" hidden="false" customHeight="false" outlineLevel="0" collapsed="false">
      <c r="A11" s="5" t="s">
        <v>30</v>
      </c>
      <c r="B11" s="5" t="s">
        <v>31</v>
      </c>
      <c r="C11" s="6" t="n">
        <v>0</v>
      </c>
      <c r="D11" s="6" t="n">
        <v>128000</v>
      </c>
      <c r="E11" s="6" t="n">
        <v>0</v>
      </c>
      <c r="F11" s="6" t="n">
        <v>22000</v>
      </c>
      <c r="G11" s="7" t="n">
        <f aca="false">MAX(0,(C11-D11)+(E11-F11))</f>
        <v>0</v>
      </c>
      <c r="H11" s="7" t="n">
        <f aca="false">MAX(0,-((C11-D11)+(E11-F11)))</f>
        <v>150000</v>
      </c>
      <c r="I11" s="5" t="s">
        <v>32</v>
      </c>
      <c r="J11" s="5" t="s">
        <v>16</v>
      </c>
    </row>
    <row r="12" customFormat="false" ht="15" hidden="false" customHeight="false" outlineLevel="0" collapsed="false">
      <c r="A12" s="5" t="s">
        <v>33</v>
      </c>
      <c r="B12" s="5" t="s">
        <v>34</v>
      </c>
      <c r="C12" s="6" t="n">
        <v>98000</v>
      </c>
      <c r="D12" s="6" t="n">
        <v>0</v>
      </c>
      <c r="E12" s="6" t="n">
        <v>15000</v>
      </c>
      <c r="F12" s="6" t="n">
        <v>12000</v>
      </c>
      <c r="G12" s="7" t="n">
        <f aca="false">MAX(0,(C12-D12)+(E12-F12))</f>
        <v>101000</v>
      </c>
      <c r="H12" s="7" t="n">
        <f aca="false">MAX(0,-((C12-D12)+(E12-F12)))</f>
        <v>0</v>
      </c>
      <c r="I12" s="5" t="s">
        <v>35</v>
      </c>
      <c r="J12" s="5" t="s">
        <v>23</v>
      </c>
    </row>
    <row r="13" customFormat="false" ht="15" hidden="false" customHeight="false" outlineLevel="0" collapsed="false">
      <c r="A13" s="5" t="s">
        <v>36</v>
      </c>
      <c r="B13" s="5" t="s">
        <v>37</v>
      </c>
      <c r="C13" s="6" t="n">
        <v>0</v>
      </c>
      <c r="D13" s="6" t="n">
        <v>76500</v>
      </c>
      <c r="E13" s="6" t="n">
        <v>54000</v>
      </c>
      <c r="F13" s="6" t="n">
        <v>61000</v>
      </c>
      <c r="G13" s="7" t="n">
        <f aca="false">MAX(0,(C13-D13)+(E13-F13))</f>
        <v>0</v>
      </c>
      <c r="H13" s="7" t="n">
        <f aca="false">MAX(0,-((C13-D13)+(E13-F13)))</f>
        <v>83500</v>
      </c>
      <c r="I13" s="5" t="s">
        <v>38</v>
      </c>
      <c r="J13" s="5" t="s">
        <v>23</v>
      </c>
    </row>
    <row r="14" customFormat="false" ht="15" hidden="false" customHeight="false" outlineLevel="0" collapsed="false">
      <c r="A14" s="5" t="s">
        <v>39</v>
      </c>
      <c r="B14" s="5" t="s">
        <v>40</v>
      </c>
      <c r="C14" s="6" t="n">
        <v>112300</v>
      </c>
      <c r="D14" s="6" t="n">
        <v>0</v>
      </c>
      <c r="E14" s="6" t="n">
        <v>88000</v>
      </c>
      <c r="F14" s="6" t="n">
        <v>95000</v>
      </c>
      <c r="G14" s="7" t="n">
        <f aca="false">MAX(0,(C14-D14)+(E14-F14))</f>
        <v>105300</v>
      </c>
      <c r="H14" s="7" t="n">
        <f aca="false">MAX(0,-((C14-D14)+(E14-F14)))</f>
        <v>0</v>
      </c>
      <c r="I14" s="5" t="s">
        <v>41</v>
      </c>
      <c r="J14" s="5" t="s">
        <v>23</v>
      </c>
    </row>
    <row r="15" customFormat="false" ht="15" hidden="false" customHeight="false" outlineLevel="0" collapsed="false">
      <c r="A15" s="5" t="s">
        <v>42</v>
      </c>
      <c r="B15" s="5" t="s">
        <v>43</v>
      </c>
      <c r="C15" s="6" t="n">
        <v>0</v>
      </c>
      <c r="D15" s="6" t="n">
        <v>18400</v>
      </c>
      <c r="E15" s="6" t="n">
        <v>18400</v>
      </c>
      <c r="F15" s="6" t="n">
        <v>19100</v>
      </c>
      <c r="G15" s="7" t="n">
        <f aca="false">MAX(0,(C15-D15)+(E15-F15))</f>
        <v>0</v>
      </c>
      <c r="H15" s="7" t="n">
        <f aca="false">MAX(0,-((C15-D15)+(E15-F15)))</f>
        <v>19100</v>
      </c>
      <c r="I15" s="5" t="s">
        <v>15</v>
      </c>
      <c r="J15" s="5" t="s">
        <v>16</v>
      </c>
    </row>
    <row r="16" customFormat="false" ht="15" hidden="false" customHeight="false" outlineLevel="0" collapsed="false">
      <c r="A16" s="5" t="s">
        <v>44</v>
      </c>
      <c r="B16" s="5" t="s">
        <v>45</v>
      </c>
      <c r="C16" s="6" t="n">
        <v>0</v>
      </c>
      <c r="D16" s="6" t="n">
        <v>9600</v>
      </c>
      <c r="E16" s="6" t="n">
        <v>0</v>
      </c>
      <c r="F16" s="6" t="n">
        <v>7200</v>
      </c>
      <c r="G16" s="7" t="n">
        <f aca="false">MAX(0,(C16-D16)+(E16-F16))</f>
        <v>0</v>
      </c>
      <c r="H16" s="7" t="n">
        <f aca="false">MAX(0,-((C16-D16)+(E16-F16)))</f>
        <v>16800</v>
      </c>
      <c r="I16" s="5" t="s">
        <v>15</v>
      </c>
      <c r="J16" s="5" t="s">
        <v>16</v>
      </c>
    </row>
    <row r="17" customFormat="false" ht="15" hidden="false" customHeight="false" outlineLevel="0" collapsed="false">
      <c r="A17" s="5" t="s">
        <v>46</v>
      </c>
      <c r="B17" s="5" t="s">
        <v>47</v>
      </c>
      <c r="C17" s="6" t="n">
        <v>6100</v>
      </c>
      <c r="D17" s="6" t="n">
        <v>0</v>
      </c>
      <c r="E17" s="6" t="n">
        <v>4300</v>
      </c>
      <c r="F17" s="6" t="n">
        <v>0</v>
      </c>
      <c r="G17" s="7" t="n">
        <f aca="false">MAX(0,(C17-D17)+(E17-F17))</f>
        <v>10400</v>
      </c>
      <c r="H17" s="7" t="n">
        <f aca="false">MAX(0,-((C17-D17)+(E17-F17)))</f>
        <v>0</v>
      </c>
      <c r="I17" s="5" t="s">
        <v>15</v>
      </c>
      <c r="J17" s="5" t="s">
        <v>16</v>
      </c>
    </row>
    <row r="18" customFormat="false" ht="15" hidden="false" customHeight="false" outlineLevel="0" collapsed="false">
      <c r="A18" s="5" t="s">
        <v>48</v>
      </c>
      <c r="B18" s="5" t="s">
        <v>49</v>
      </c>
      <c r="C18" s="6" t="n">
        <v>54200</v>
      </c>
      <c r="D18" s="6" t="n">
        <v>0</v>
      </c>
      <c r="E18" s="6" t="n">
        <v>487350</v>
      </c>
      <c r="F18" s="6" t="n">
        <v>198500</v>
      </c>
      <c r="G18" s="7" t="n">
        <f aca="false">MAX(0,(C18-D18)+(E18-F18))</f>
        <v>343050</v>
      </c>
      <c r="H18" s="7" t="n">
        <f aca="false">MAX(0,-((C18-D18)+(E18-F18)))</f>
        <v>0</v>
      </c>
      <c r="I18" s="5" t="s">
        <v>50</v>
      </c>
      <c r="J18" s="5" t="s">
        <v>16</v>
      </c>
    </row>
    <row r="19" customFormat="false" ht="15" hidden="false" customHeight="false" outlineLevel="0" collapsed="false">
      <c r="A19" s="5" t="s">
        <v>51</v>
      </c>
      <c r="B19" s="5" t="s">
        <v>52</v>
      </c>
      <c r="C19" s="6" t="n">
        <v>1850</v>
      </c>
      <c r="D19" s="6" t="n">
        <v>0</v>
      </c>
      <c r="E19" s="6" t="n">
        <v>12000</v>
      </c>
      <c r="F19" s="6" t="n">
        <v>11600</v>
      </c>
      <c r="G19" s="7" t="n">
        <f aca="false">MAX(0,(C19-D19)+(E19-F19))</f>
        <v>2250</v>
      </c>
      <c r="H19" s="7" t="n">
        <f aca="false">MAX(0,-((C19-D19)+(E19-F19)))</f>
        <v>0</v>
      </c>
      <c r="I19" s="5" t="s">
        <v>53</v>
      </c>
      <c r="J19" s="5" t="s">
        <v>23</v>
      </c>
    </row>
    <row r="20" customFormat="false" ht="15" hidden="false" customHeight="false" outlineLevel="0" collapsed="false">
      <c r="A20" s="5" t="s">
        <v>54</v>
      </c>
      <c r="B20" s="5" t="s">
        <v>55</v>
      </c>
      <c r="C20" s="6" t="n">
        <v>89000</v>
      </c>
      <c r="D20" s="6" t="n">
        <v>0</v>
      </c>
      <c r="E20" s="6" t="n">
        <v>32000</v>
      </c>
      <c r="F20" s="6" t="n">
        <v>0</v>
      </c>
      <c r="G20" s="7" t="n">
        <f aca="false">MAX(0,(C20-D20)+(E20-F20))</f>
        <v>121000</v>
      </c>
      <c r="H20" s="7" t="n">
        <f aca="false">MAX(0,-((C20-D20)+(E20-F20)))</f>
        <v>0</v>
      </c>
      <c r="I20" s="5" t="s">
        <v>15</v>
      </c>
      <c r="J20" s="5" t="s">
        <v>16</v>
      </c>
    </row>
    <row r="21" customFormat="false" ht="15" hidden="false" customHeight="false" outlineLevel="0" collapsed="false">
      <c r="A21" s="5" t="s">
        <v>56</v>
      </c>
      <c r="B21" s="5" t="s">
        <v>57</v>
      </c>
      <c r="C21" s="6" t="n">
        <v>14400</v>
      </c>
      <c r="D21" s="6" t="n">
        <v>0</v>
      </c>
      <c r="E21" s="6" t="n">
        <v>1200</v>
      </c>
      <c r="F21" s="6" t="n">
        <v>0</v>
      </c>
      <c r="G21" s="7" t="n">
        <f aca="false">MAX(0,(C21-D21)+(E21-F21))</f>
        <v>15600</v>
      </c>
      <c r="H21" s="7" t="n">
        <f aca="false">MAX(0,-((C21-D21)+(E21-F21)))</f>
        <v>0</v>
      </c>
      <c r="I21" s="5" t="s">
        <v>15</v>
      </c>
      <c r="J21" s="5" t="s">
        <v>16</v>
      </c>
    </row>
    <row r="22" customFormat="false" ht="15" hidden="false" customHeight="false" outlineLevel="0" collapsed="false">
      <c r="A22" s="5" t="s">
        <v>58</v>
      </c>
      <c r="B22" s="5" t="s">
        <v>59</v>
      </c>
      <c r="C22" s="6" t="n">
        <v>156000</v>
      </c>
      <c r="D22" s="6" t="n">
        <v>0</v>
      </c>
      <c r="E22" s="6" t="n">
        <v>19100</v>
      </c>
      <c r="F22" s="6" t="n">
        <v>0</v>
      </c>
      <c r="G22" s="7" t="n">
        <f aca="false">MAX(0,(C22-D22)+(E22-F22))</f>
        <v>175100</v>
      </c>
      <c r="H22" s="7" t="n">
        <f aca="false">MAX(0,-((C22-D22)+(E22-F22)))</f>
        <v>0</v>
      </c>
      <c r="I22" s="5" t="s">
        <v>15</v>
      </c>
      <c r="J22" s="5" t="s">
        <v>16</v>
      </c>
    </row>
    <row r="23" customFormat="false" ht="15" hidden="false" customHeight="false" outlineLevel="0" collapsed="false">
      <c r="A23" s="5" t="s">
        <v>60</v>
      </c>
      <c r="B23" s="5" t="s">
        <v>61</v>
      </c>
      <c r="C23" s="6" t="n">
        <v>0</v>
      </c>
      <c r="D23" s="6" t="n">
        <v>245000</v>
      </c>
      <c r="E23" s="6" t="n">
        <v>0</v>
      </c>
      <c r="F23" s="6" t="n">
        <v>38500</v>
      </c>
      <c r="G23" s="7" t="n">
        <f aca="false">MAX(0,(C23-D23)+(E23-F23))</f>
        <v>0</v>
      </c>
      <c r="H23" s="7" t="n">
        <f aca="false">MAX(0,-((C23-D23)+(E23-F23)))</f>
        <v>283500</v>
      </c>
      <c r="I23" s="5" t="s">
        <v>15</v>
      </c>
      <c r="J23" s="5" t="s">
        <v>16</v>
      </c>
    </row>
    <row r="24" customFormat="false" ht="15" hidden="false" customHeight="false" outlineLevel="0" collapsed="false">
      <c r="A24" s="5" t="s">
        <v>62</v>
      </c>
      <c r="B24" s="5" t="s">
        <v>63</v>
      </c>
      <c r="C24" s="6" t="n">
        <v>0</v>
      </c>
      <c r="D24" s="6" t="n">
        <v>198000</v>
      </c>
      <c r="E24" s="6" t="n">
        <v>0</v>
      </c>
      <c r="F24" s="6" t="n">
        <v>29800</v>
      </c>
      <c r="G24" s="7" t="n">
        <f aca="false">MAX(0,(C24-D24)+(E24-F24))</f>
        <v>0</v>
      </c>
      <c r="H24" s="7" t="n">
        <f aca="false">MAX(0,-((C24-D24)+(E24-F24)))</f>
        <v>227800</v>
      </c>
      <c r="I24" s="5" t="s">
        <v>15</v>
      </c>
      <c r="J24" s="5" t="s">
        <v>16</v>
      </c>
    </row>
    <row r="25" customFormat="false" ht="15" hidden="false" customHeight="false" outlineLevel="0" collapsed="false">
      <c r="A25" s="8"/>
      <c r="B25" s="9" t="s">
        <v>64</v>
      </c>
      <c r="C25" s="10" t="n">
        <f aca="false">SUM(C6:C24)</f>
        <v>1091850</v>
      </c>
      <c r="D25" s="10" t="n">
        <f aca="false">SUM(D6:D24)</f>
        <v>1380500</v>
      </c>
      <c r="E25" s="10" t="n">
        <f aca="false">SUM(E6:E24)</f>
        <v>788350</v>
      </c>
      <c r="F25" s="10" t="n">
        <f aca="false">SUM(F6:F24)</f>
        <v>499700</v>
      </c>
      <c r="G25" s="10" t="n">
        <f aca="false">SUM(G6:G24)</f>
        <v>1478700</v>
      </c>
      <c r="H25" s="10" t="n">
        <f aca="false">SUM(H6:H24)</f>
        <v>1478700</v>
      </c>
      <c r="I25" s="8"/>
      <c r="J25" s="8"/>
    </row>
    <row r="27" customFormat="false" ht="15" hidden="false" customHeight="false" outlineLevel="0" collapsed="false">
      <c r="B27" s="11" t="s">
        <v>65</v>
      </c>
      <c r="G27" s="12" t="str">
        <f aca="false">IF(ROUND(G25-H25,3)=0,"OK","ÉCART")</f>
        <v>OK</v>
      </c>
    </row>
    <row r="28" customFormat="false" ht="15" hidden="false" customHeight="false" outlineLevel="0" collapsed="false">
      <c r="B28" s="3" t="s">
        <v>66</v>
      </c>
    </row>
    <row r="29" customFormat="false" ht="15" hidden="false" customHeight="false" outlineLevel="0" collapsed="false">
      <c r="A29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8"/>
  </cols>
  <sheetData>
    <row r="1" customFormat="false" ht="16.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 customFormat="false" ht="15" hidden="false" customHeight="false" outlineLevel="0" collapsed="false">
      <c r="A6" s="5" t="s">
        <v>80</v>
      </c>
      <c r="B6" s="5" t="s">
        <v>81</v>
      </c>
      <c r="C6" s="13" t="s">
        <v>82</v>
      </c>
      <c r="D6" s="6" t="n">
        <v>180000</v>
      </c>
      <c r="E6" s="13" t="s">
        <v>83</v>
      </c>
      <c r="F6" s="13" t="n">
        <v>10</v>
      </c>
      <c r="G6" s="13" t="n">
        <v>4</v>
      </c>
      <c r="H6" s="14" t="n">
        <f aca="false">1/F6</f>
        <v>0.1</v>
      </c>
      <c r="I6" s="7" t="n">
        <f aca="false">MIN(D6,D6*H6*G6)</f>
        <v>72000</v>
      </c>
      <c r="J6" s="7" t="n">
        <f aca="false">D6-I6</f>
        <v>108000</v>
      </c>
    </row>
    <row r="7" customFormat="false" ht="15" hidden="false" customHeight="false" outlineLevel="0" collapsed="false">
      <c r="A7" s="5" t="s">
        <v>84</v>
      </c>
      <c r="B7" s="5" t="s">
        <v>85</v>
      </c>
      <c r="C7" s="13" t="s">
        <v>86</v>
      </c>
      <c r="D7" s="6" t="n">
        <v>45000</v>
      </c>
      <c r="E7" s="13" t="s">
        <v>83</v>
      </c>
      <c r="F7" s="13" t="n">
        <v>8</v>
      </c>
      <c r="G7" s="13" t="n">
        <v>3</v>
      </c>
      <c r="H7" s="14" t="n">
        <f aca="false">1/F7</f>
        <v>0.125</v>
      </c>
      <c r="I7" s="7" t="n">
        <f aca="false">MIN(D7,D7*H7*G7)</f>
        <v>16875</v>
      </c>
      <c r="J7" s="7" t="n">
        <f aca="false">D7-I7</f>
        <v>28125</v>
      </c>
    </row>
    <row r="8" customFormat="false" ht="15" hidden="false" customHeight="false" outlineLevel="0" collapsed="false">
      <c r="A8" s="5" t="s">
        <v>87</v>
      </c>
      <c r="B8" s="5" t="s">
        <v>88</v>
      </c>
      <c r="C8" s="13" t="s">
        <v>89</v>
      </c>
      <c r="D8" s="6" t="n">
        <v>62000</v>
      </c>
      <c r="E8" s="13" t="s">
        <v>83</v>
      </c>
      <c r="F8" s="13" t="n">
        <v>5</v>
      </c>
      <c r="G8" s="13" t="n">
        <v>2</v>
      </c>
      <c r="H8" s="14" t="n">
        <f aca="false">1/F8</f>
        <v>0.2</v>
      </c>
      <c r="I8" s="7" t="n">
        <f aca="false">MIN(D8,D8*H8*G8)</f>
        <v>24800</v>
      </c>
      <c r="J8" s="7" t="n">
        <f aca="false">D8-I8</f>
        <v>37200</v>
      </c>
    </row>
    <row r="9" customFormat="false" ht="15" hidden="false" customHeight="false" outlineLevel="0" collapsed="false">
      <c r="A9" s="5" t="s">
        <v>90</v>
      </c>
      <c r="B9" s="5" t="s">
        <v>91</v>
      </c>
      <c r="C9" s="13" t="s">
        <v>92</v>
      </c>
      <c r="D9" s="6" t="n">
        <v>21000</v>
      </c>
      <c r="E9" s="13" t="s">
        <v>83</v>
      </c>
      <c r="F9" s="13" t="n">
        <v>3</v>
      </c>
      <c r="G9" s="13" t="n">
        <v>2</v>
      </c>
      <c r="H9" s="14" t="n">
        <f aca="false">1/F9</f>
        <v>0.333333333333333</v>
      </c>
      <c r="I9" s="7" t="n">
        <f aca="false">MIN(D9,D9*H9*G9)</f>
        <v>14000</v>
      </c>
      <c r="J9" s="7" t="n">
        <f aca="false">D9-I9</f>
        <v>7000</v>
      </c>
    </row>
    <row r="10" customFormat="false" ht="15" hidden="false" customHeight="false" outlineLevel="0" collapsed="false">
      <c r="A10" s="5" t="s">
        <v>93</v>
      </c>
      <c r="B10" s="5" t="s">
        <v>94</v>
      </c>
      <c r="C10" s="13" t="s">
        <v>95</v>
      </c>
      <c r="D10" s="6" t="n">
        <v>410000</v>
      </c>
      <c r="E10" s="13" t="s">
        <v>83</v>
      </c>
      <c r="F10" s="13" t="n">
        <v>20</v>
      </c>
      <c r="G10" s="13" t="n">
        <v>6</v>
      </c>
      <c r="H10" s="14" t="n">
        <f aca="false">1/F10</f>
        <v>0.05</v>
      </c>
      <c r="I10" s="7" t="n">
        <f aca="false">MIN(D10,D10*H10*G10)</f>
        <v>123000</v>
      </c>
      <c r="J10" s="7" t="n">
        <f aca="false">D10-I10</f>
        <v>287000</v>
      </c>
    </row>
    <row r="11" customFormat="false" ht="15" hidden="false" customHeight="false" outlineLevel="0" collapsed="false">
      <c r="A11" s="5" t="s">
        <v>96</v>
      </c>
      <c r="B11" s="5" t="s">
        <v>97</v>
      </c>
      <c r="C11" s="13" t="s">
        <v>98</v>
      </c>
      <c r="D11" s="6" t="n">
        <v>32000</v>
      </c>
      <c r="E11" s="13" t="s">
        <v>83</v>
      </c>
      <c r="F11" s="13" t="n">
        <v>8</v>
      </c>
      <c r="G11" s="13" t="n">
        <v>1</v>
      </c>
      <c r="H11" s="14" t="n">
        <f aca="false">1/F11</f>
        <v>0.125</v>
      </c>
      <c r="I11" s="7" t="n">
        <f aca="false">MIN(D11,D11*H11*G11)</f>
        <v>4000</v>
      </c>
      <c r="J11" s="7" t="n">
        <f aca="false">D11-I11</f>
        <v>28000</v>
      </c>
    </row>
    <row r="12" customFormat="false" ht="15" hidden="false" customHeight="false" outlineLevel="0" collapsed="false">
      <c r="A12" s="8"/>
      <c r="B12" s="9" t="s">
        <v>64</v>
      </c>
      <c r="C12" s="8"/>
      <c r="D12" s="10" t="n">
        <f aca="false">SUM(D6:D11)</f>
        <v>750000</v>
      </c>
      <c r="E12" s="8"/>
      <c r="F12" s="8"/>
      <c r="G12" s="8"/>
      <c r="H12" s="8"/>
      <c r="I12" s="10" t="n">
        <f aca="false">SUM(I6:I11)</f>
        <v>254675</v>
      </c>
      <c r="J12" s="10" t="n">
        <f aca="false">SUM(J6:J11)</f>
        <v>495325</v>
      </c>
    </row>
    <row r="14" customFormat="false" ht="15" hidden="false" customHeight="false" outlineLevel="0" collapsed="false">
      <c r="A14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2026-07-13T10:37:54Z</dcterms:created>
  <dc:creator>openpyxl</dc:creator>
  <dc:description/>
  <dc:language>en-US</dc:language>
  <cp:lastModifiedBy/>
  <dcterms:modified xsi:type="dcterms:W3CDTF">2026-07-13T10:37:54Z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